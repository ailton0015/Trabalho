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lton\Documents\"/>
    </mc:Choice>
  </mc:AlternateContent>
  <xr:revisionPtr revIDLastSave="0" documentId="8_{E6ED4825-318E-4942-8F28-5B564B635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" sheetId="1" r:id="rId1"/>
    <sheet name="Apoio" sheetId="2" r:id="rId2"/>
  </sheets>
  <definedNames>
    <definedName name="anos">APP!$C$12</definedName>
    <definedName name="aporte">APP!$C$11</definedName>
    <definedName name="perfil">APP!$C$24</definedName>
    <definedName name="salario">APP!$C$6</definedName>
    <definedName name="sugestao_aporte">APP!$C$8</definedName>
    <definedName name="taxa_mensal">APP!$C$7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D34" i="1" s="1"/>
  <c r="C25" i="1"/>
  <c r="D22" i="1"/>
  <c r="C22" i="1"/>
  <c r="D21" i="1"/>
  <c r="C21" i="1"/>
  <c r="C20" i="1"/>
  <c r="D20" i="1" s="1"/>
  <c r="D19" i="1"/>
  <c r="C19" i="1"/>
  <c r="C18" i="1"/>
  <c r="D18" i="1" s="1"/>
  <c r="C14" i="1"/>
  <c r="C15" i="1" s="1"/>
  <c r="C13" i="1"/>
  <c r="C8" i="1"/>
  <c r="C34" i="1" l="1"/>
</calcChain>
</file>

<file path=xl/sharedStrings.xml><?xml version="1.0" encoding="utf-8"?>
<sst xmlns="http://schemas.openxmlformats.org/spreadsheetml/2006/main" count="75" uniqueCount="38">
  <si>
    <t>SIMULADOR DE INVESTIMENTOS EM FIIs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</si>
  <si>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</si>
  <si>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</si>
  <si>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</si>
  <si>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</si>
  <si>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</si>
  <si>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</si>
  <si>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</si>
  <si>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</si>
  <si>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</si>
  <si>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</si>
  <si>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Cenários</t>
  </si>
  <si>
    <t>Patrimônio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</si>
  <si>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</si>
  <si>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</si>
  <si>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</si>
  <si>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</si>
  <si>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</si>
  <si>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</si>
  <si>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</si>
  <si>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</si>
  <si>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</si>
  <si>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</si>
  <si>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</si>
  <si>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</si>
  <si>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</si>
  <si>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</si>
  <si>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</si>
  <si>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FDFs</t>
  </si>
  <si>
    <t>DESENVOLVIMENTO</t>
  </si>
  <si>
    <t>HOTELARIAS</t>
  </si>
  <si>
    <t>TOTAL</t>
  </si>
  <si>
    <t>Conservador</t>
  </si>
  <si>
    <t>Chave</t>
  </si>
  <si>
    <t>Perfil</t>
  </si>
  <si>
    <t>Tipo FII</t>
  </si>
  <si>
    <t>Percentual</t>
  </si>
  <si>
    <t>Arrojado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</si>
</sst>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0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D97706"/>
        <bgColor rgb="FFD97706"/>
      </patternFill>
    </fill>
    <fill>
      <patternFill patternType="solid">
        <fgColor rgb="FFE0E0E0"/>
        <bgColor rgb="FFE0E0E0"/>
      </patternFill>
    </fill>
    <fill>
      <patternFill patternType="solid">
        <fgColor rgb="FF2D6A4F"/>
        <bgColor rgb="FF2D6A4F"/>
      </patternFill>
    </fill>
    <fill>
      <patternFill patternType="solid">
        <fgColor rgb="FFE5E7EB"/>
        <bgColor rgb="FFE5E7EB"/>
      </patternFill>
    </fill>
    <fill>
      <patternFill patternType="solid">
        <fgColor rgb="FFD1D5DB"/>
        <bgColor rgb="FFD1D5D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10" fontId="0" fillId="4" borderId="1" xfId="0" applyNumberForma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9" fontId="0" fillId="4" borderId="1" xfId="0" applyNumberFormat="1" applyFill="1" applyBorder="1" applyAlignment="1">
      <alignment horizontal="right" vertical="center"/>
    </xf>
    <xf numFmtId="9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1" fillId="0" borderId="0" xfId="0" applyFont="1"/>
    <xf numFmtId="9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Divisão do Aporte por Tipo de FII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APP!$C$27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APP!$B$28:$B$33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FDFs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APP!$C$28:$C$33</c:f>
              <c:numCache>
                <c:formatCode>0%</c:formatCode>
                <c:ptCount val="6"/>
                <c:pt idx="0">
                  <c:v>0.3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E-4AC0-AD96-8CFDD2771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4"/>
  <sheetViews>
    <sheetView showGridLines="0" tabSelected="1" topLeftCell="A7" workbookViewId="0">
      <selection activeCell="I46" sqref="I46"/>
    </sheetView>
  </sheetViews>
  <sheetFormatPr defaultRowHeight="15" x14ac:dyDescent="0.25"/>
  <cols>
    <col min="1" max="1" width="3" customWidth="1"/>
    <col min="2" max="2" width="32" customWidth="1"/>
    <col min="3" max="4" width="22" customWidth="1"/>
  </cols>
  <sheetData>
    <row r="2" spans="2:4" x14ac:dyDescent="0.25">
      <c r="B2" s="20" t="s">
        <v>0</v>
      </c>
      <c r="C2" s="21"/>
      <c r="D2" s="21"/>
    </row>
    <row r="3" spans="2:4" x14ac:dyDescent="0.25">
      <c r="B3" s="21"/>
      <c r="C3" s="21"/>
      <c r="D3" s="21"/>
    </row>
    <row r="5" spans="2:4" x14ac:dyDescent="0.25">
      <c r="B5" s="22" t="s">
        <v>1</v>
      </c>
      <c r="C5" s="23"/>
    </row>
    <row r="6" spans="2:4" x14ac:dyDescent="0.25">
      <c r="B6" s="2" t="s">
        <v>2</v>
      </c>
      <c r="C6" s="3">
        <v>3000</v>
      </c>
    </row>
    <row r="7" spans="2:4" x14ac:dyDescent="0.25">
      <c r="B7" s="2" t="s">
        <v>3</v>
      </c>
      <c r="C7" s="4">
        <v>8.0000000000000002E-3</v>
      </c>
    </row>
    <row r="8" spans="2:4" x14ac:dyDescent="0.25">
      <c r="B8" s="2" t="s">
        <v>4</v>
      </c>
      <c r="C8" s="5">
        <f>salario*0.3</f>
        <v>900</v>
      </c>
    </row>
    <row r="9" spans="2:4" x14ac:dyDescent="0.25">
      <c r="B9" s="6"/>
      <c r="C9" s="7"/>
    </row>
    <row r="10" spans="2:4" x14ac:dyDescent="0.25">
      <c r="B10" s="24" t="s">
        <v>5</v>
      </c>
      <c r="C10" s="23"/>
    </row>
    <row r="11" spans="2:4" x14ac:dyDescent="0.25">
      <c r="B11" s="2" t="s">
        <v>6</v>
      </c>
      <c r="C11" s="3">
        <v>500</v>
      </c>
    </row>
    <row r="12" spans="2:4" x14ac:dyDescent="0.25">
      <c r="B12" s="2" t="s">
        <v>7</v>
      </c>
      <c r="C12" s="1">
        <v>5</v>
      </c>
    </row>
    <row r="13" spans="2:4" x14ac:dyDescent="0.25">
      <c r="B13" s="2" t="s">
        <v>8</v>
      </c>
      <c r="C13" s="9">
        <f>taxa_mensal</f>
        <v>8.0000000000000002E-3</v>
      </c>
    </row>
    <row r="14" spans="2:4" x14ac:dyDescent="0.25">
      <c r="B14" s="10" t="s">
        <v>9</v>
      </c>
      <c r="C14" s="11">
        <f>-FV(taxa_mensal, anos*12, aporte)</f>
        <v>38311.933415940111</v>
      </c>
    </row>
    <row r="15" spans="2:4" x14ac:dyDescent="0.25">
      <c r="B15" s="10" t="s">
        <v>10</v>
      </c>
      <c r="C15" s="11">
        <f>C14*taxa_mensal</f>
        <v>306.49546732752088</v>
      </c>
    </row>
    <row r="16" spans="2:4" x14ac:dyDescent="0.25">
      <c r="B16" s="6"/>
      <c r="C16" s="7"/>
    </row>
    <row r="17" spans="2:4" x14ac:dyDescent="0.25">
      <c r="B17" s="8" t="s">
        <v>11</v>
      </c>
      <c r="C17" s="12" t="s">
        <v>12</v>
      </c>
      <c r="D17" s="12" t="s">
        <v>13</v>
      </c>
    </row>
    <row r="18" spans="2:4" x14ac:dyDescent="0.25">
      <c r="B18" s="2" t="s">
        <v>14</v>
      </c>
      <c r="C18" s="5">
        <f>-FV(taxa_mensal, 2*12, aporte)</f>
        <v>13171.577555559783</v>
      </c>
      <c r="D18" s="5">
        <f>C18*taxa_mensal</f>
        <v>105.37262044447827</v>
      </c>
    </row>
    <row r="19" spans="2:4" x14ac:dyDescent="0.25">
      <c r="B19" s="2" t="s">
        <v>15</v>
      </c>
      <c r="C19" s="5">
        <f>-FV(taxa_mensal, 5*12, aporte)</f>
        <v>38311.933415940111</v>
      </c>
      <c r="D19" s="5">
        <f>C19*taxa_mensal</f>
        <v>306.49546732752088</v>
      </c>
    </row>
    <row r="20" spans="2:4" x14ac:dyDescent="0.25">
      <c r="B20" s="2" t="s">
        <v>16</v>
      </c>
      <c r="C20" s="5">
        <f>-FV(taxa_mensal, 10*12, aporte)</f>
        <v>100108.73470495906</v>
      </c>
      <c r="D20" s="5">
        <f>C20*taxa_mensal</f>
        <v>800.8698776396725</v>
      </c>
    </row>
    <row r="21" spans="2:4" x14ac:dyDescent="0.25">
      <c r="B21" s="2" t="s">
        <v>17</v>
      </c>
      <c r="C21" s="5">
        <f>-FV(taxa_mensal, 20*12, aporte)</f>
        <v>360565.60963756416</v>
      </c>
      <c r="D21" s="5">
        <f>C21*taxa_mensal</f>
        <v>2884.5248771005135</v>
      </c>
    </row>
    <row r="22" spans="2:4" x14ac:dyDescent="0.25">
      <c r="B22" s="2" t="s">
        <v>18</v>
      </c>
      <c r="C22" s="5">
        <f>-FV(taxa_mensal, 30*12, aporte)</f>
        <v>1038206.6156855426</v>
      </c>
      <c r="D22" s="5">
        <f>C22*taxa_mensal</f>
        <v>8305.6529254843408</v>
      </c>
    </row>
    <row r="23" spans="2:4" x14ac:dyDescent="0.25">
      <c r="B23" s="6"/>
      <c r="C23" s="7"/>
    </row>
    <row r="24" spans="2:4" x14ac:dyDescent="0.25">
      <c r="B24" s="10" t="s">
        <v>19</v>
      </c>
      <c r="C24" s="1" t="s">
        <v>20</v>
      </c>
    </row>
    <row r="25" spans="2:4" x14ac:dyDescent="0.25">
      <c r="B25" s="10" t="s">
        <v>21</v>
      </c>
      <c r="C25" s="11">
        <f>aporte</f>
        <v>500</v>
      </c>
    </row>
    <row r="26" spans="2:4" x14ac:dyDescent="0.25">
      <c r="B26" s="6"/>
      <c r="C26" s="7"/>
    </row>
    <row r="27" spans="2:4" x14ac:dyDescent="0.25">
      <c r="B27" s="13" t="s">
        <v>22</v>
      </c>
      <c r="C27" s="14" t="s">
        <v>23</v>
      </c>
      <c r="D27" s="14" t="s">
        <v>24</v>
      </c>
    </row>
    <row r="28" spans="2:4" x14ac:dyDescent="0.25">
      <c r="B28" s="2" t="s">
        <v>25</v>
      </c>
      <c r="C28" s="15">
        <f>VLOOKUP(perfil&amp;B28, Apoio!$C$2:$F$19, 4, FALSE)</f>
        <v>0.3</v>
      </c>
      <c r="D28" s="5">
        <f t="shared" ref="D28:D33" si="0">C28*aporte</f>
        <v>150</v>
      </c>
    </row>
    <row r="29" spans="2:4" x14ac:dyDescent="0.25">
      <c r="B29" s="2" t="s">
        <v>26</v>
      </c>
      <c r="C29" s="15">
        <f>VLOOKUP(perfil&amp;B29, Apoio!$C$2:$F$19, 4, FALSE)</f>
        <v>0.35</v>
      </c>
      <c r="D29" s="5">
        <f t="shared" si="0"/>
        <v>175</v>
      </c>
    </row>
    <row r="30" spans="2:4" x14ac:dyDescent="0.25">
      <c r="B30" s="2" t="s">
        <v>27</v>
      </c>
      <c r="C30" s="15">
        <f>VLOOKUP(perfil&amp;B30, Apoio!$C$2:$F$19, 4, FALSE)</f>
        <v>0.15</v>
      </c>
      <c r="D30" s="5">
        <f t="shared" si="0"/>
        <v>75</v>
      </c>
    </row>
    <row r="31" spans="2:4" x14ac:dyDescent="0.25">
      <c r="B31" s="2" t="s">
        <v>28</v>
      </c>
      <c r="C31" s="15">
        <f>VLOOKUP(perfil&amp;B31, Apoio!$C$2:$F$19, 4, FALSE)</f>
        <v>0.1</v>
      </c>
      <c r="D31" s="5">
        <f t="shared" si="0"/>
        <v>50</v>
      </c>
    </row>
    <row r="32" spans="2:4" x14ac:dyDescent="0.25">
      <c r="B32" s="2" t="s">
        <v>29</v>
      </c>
      <c r="C32" s="15">
        <f>VLOOKUP(perfil&amp;B32, Apoio!$C$2:$F$19, 4, FALSE)</f>
        <v>0.05</v>
      </c>
      <c r="D32" s="5">
        <f t="shared" si="0"/>
        <v>25</v>
      </c>
    </row>
    <row r="33" spans="2:4" x14ac:dyDescent="0.25">
      <c r="B33" s="2" t="s">
        <v>30</v>
      </c>
      <c r="C33" s="15">
        <f>VLOOKUP(perfil&amp;B33, Apoio!$C$2:$F$19, 4, FALSE)</f>
        <v>0.05</v>
      </c>
      <c r="D33" s="5">
        <f t="shared" si="0"/>
        <v>25</v>
      </c>
    </row>
    <row r="34" spans="2:4" x14ac:dyDescent="0.25">
      <c r="B34" s="10" t="s">
        <v>31</v>
      </c>
      <c r="C34" s="16">
        <f>SUM(C28:C33)</f>
        <v>1</v>
      </c>
      <c r="D34" s="17">
        <f>SUM(D28:D33)</f>
        <v>500</v>
      </c>
    </row>
  </sheetData>
  <mergeCells count="3">
    <mergeCell ref="B2:D3"/>
    <mergeCell ref="B5:C5"/>
    <mergeCell ref="B10:C10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Apoio!$A$1:$A$3</xm:f>
          </x14:formula1>
          <xm:sqref>C24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defaultRowHeight="15" x14ac:dyDescent="0.25"/>
  <sheetData>
    <row r="1" spans="1:6" x14ac:dyDescent="0.25">
      <c r="A1" t="s">
        <v>32</v>
      </c>
      <c r="C1" s="18" t="s">
        <v>33</v>
      </c>
      <c r="D1" s="18" t="s">
        <v>34</v>
      </c>
      <c r="E1" s="18" t="s">
        <v>35</v>
      </c>
      <c r="F1" s="18" t="s">
        <v>36</v>
      </c>
    </row>
    <row r="2" spans="1:6" x14ac:dyDescent="0.25">
      <c r="A2" t="s">
        <v>20</v>
      </c>
      <c r="C2" t="str">
        <f t="shared" ref="C2:C19" si="0">D2&amp;E2</f>
        <v>ConservadorPAPEL</v>
      </c>
      <c r="D2" t="s">
        <v>32</v>
      </c>
      <c r="E2" t="s">
        <v>25</v>
      </c>
      <c r="F2" s="19">
        <v>0.4</v>
      </c>
    </row>
    <row r="3" spans="1:6" x14ac:dyDescent="0.25">
      <c r="A3" t="s">
        <v>37</v>
      </c>
      <c r="C3" t="str">
        <f t="shared" si="0"/>
        <v>ConservadorTIJOLO</v>
      </c>
      <c r="D3" t="s">
        <v>32</v>
      </c>
      <c r="E3" t="s">
        <v>26</v>
      </c>
      <c r="F3" s="19">
        <v>0.4</v>
      </c>
    </row>
    <row r="4" spans="1:6" x14ac:dyDescent="0.25">
      <c r="C4" t="str">
        <f t="shared" si="0"/>
        <v>ConservadorHÍBRIDOS</v>
      </c>
      <c r="D4" t="s">
        <v>32</v>
      </c>
      <c r="E4" t="s">
        <v>27</v>
      </c>
      <c r="F4" s="19">
        <v>0.1</v>
      </c>
    </row>
    <row r="5" spans="1:6" x14ac:dyDescent="0.25">
      <c r="C5" t="str">
        <f t="shared" si="0"/>
        <v>ConservadorFDFs</v>
      </c>
      <c r="D5" t="s">
        <v>32</v>
      </c>
      <c r="E5" t="s">
        <v>28</v>
      </c>
      <c r="F5" s="19">
        <v>0.1</v>
      </c>
    </row>
    <row r="6" spans="1:6" x14ac:dyDescent="0.25">
      <c r="C6" t="str">
        <f t="shared" si="0"/>
        <v>ConservadorDESENVOLVIMENTO</v>
      </c>
      <c r="D6" t="s">
        <v>32</v>
      </c>
      <c r="E6" t="s">
        <v>29</v>
      </c>
      <c r="F6" s="19">
        <v>0</v>
      </c>
    </row>
    <row r="7" spans="1:6" x14ac:dyDescent="0.25">
      <c r="C7" t="str">
        <f t="shared" si="0"/>
        <v>ConservadorHOTELARIAS</v>
      </c>
      <c r="D7" t="s">
        <v>32</v>
      </c>
      <c r="E7" t="s">
        <v>30</v>
      </c>
      <c r="F7" s="19">
        <v>0</v>
      </c>
    </row>
    <row r="8" spans="1:6" x14ac:dyDescent="0.25">
      <c r="C8" t="str">
        <f t="shared" si="0"/>
        <v>ModeradoPAPEL</v>
      </c>
      <c r="D8" t="s">
        <v>20</v>
      </c>
      <c r="E8" t="s">
        <v>25</v>
      </c>
      <c r="F8" s="19">
        <v>0.3</v>
      </c>
    </row>
    <row r="9" spans="1:6" x14ac:dyDescent="0.25">
      <c r="C9" t="str">
        <f t="shared" si="0"/>
        <v>ModeradoTIJOLO</v>
      </c>
      <c r="D9" t="s">
        <v>20</v>
      </c>
      <c r="E9" t="s">
        <v>26</v>
      </c>
      <c r="F9" s="19">
        <v>0.35</v>
      </c>
    </row>
    <row r="10" spans="1:6" x14ac:dyDescent="0.25">
      <c r="C10" t="str">
        <f t="shared" si="0"/>
        <v>ModeradoHÍBRIDOS</v>
      </c>
      <c r="D10" t="s">
        <v>20</v>
      </c>
      <c r="E10" t="s">
        <v>27</v>
      </c>
      <c r="F10" s="19">
        <v>0.15</v>
      </c>
    </row>
    <row r="11" spans="1:6" x14ac:dyDescent="0.25">
      <c r="C11" t="str">
        <f t="shared" si="0"/>
        <v>ModeradoFDFs</v>
      </c>
      <c r="D11" t="s">
        <v>20</v>
      </c>
      <c r="E11" t="s">
        <v>28</v>
      </c>
      <c r="F11" s="19">
        <v>0.1</v>
      </c>
    </row>
    <row r="12" spans="1:6" x14ac:dyDescent="0.25">
      <c r="C12" t="str">
        <f t="shared" si="0"/>
        <v>ModeradoDESENVOLVIMENTO</v>
      </c>
      <c r="D12" t="s">
        <v>20</v>
      </c>
      <c r="E12" t="s">
        <v>29</v>
      </c>
      <c r="F12" s="19">
        <v>0.05</v>
      </c>
    </row>
    <row r="13" spans="1:6" x14ac:dyDescent="0.25">
      <c r="C13" t="str">
        <f t="shared" si="0"/>
        <v>ModeradoHOTELARIAS</v>
      </c>
      <c r="D13" t="s">
        <v>20</v>
      </c>
      <c r="E13" t="s">
        <v>30</v>
      </c>
      <c r="F13" s="19">
        <v>0.05</v>
      </c>
    </row>
    <row r="14" spans="1:6" x14ac:dyDescent="0.25">
      <c r="C14" t="str">
        <f t="shared" si="0"/>
        <v>ArrojadoPAPEL</v>
      </c>
      <c r="D14" t="s">
        <v>37</v>
      </c>
      <c r="E14" t="s">
        <v>25</v>
      </c>
      <c r="F14" s="19">
        <v>0.2</v>
      </c>
    </row>
    <row r="15" spans="1:6" x14ac:dyDescent="0.25">
      <c r="C15" t="str">
        <f t="shared" si="0"/>
        <v>ArrojadoTIJOLO</v>
      </c>
      <c r="D15" t="s">
        <v>37</v>
      </c>
      <c r="E15" t="s">
        <v>26</v>
      </c>
      <c r="F15" s="19">
        <v>0.3</v>
      </c>
    </row>
    <row r="16" spans="1:6" x14ac:dyDescent="0.25">
      <c r="C16" t="str">
        <f t="shared" si="0"/>
        <v>ArrojadoHÍBRIDOS</v>
      </c>
      <c r="D16" t="s">
        <v>37</v>
      </c>
      <c r="E16" t="s">
        <v>27</v>
      </c>
      <c r="F16" s="19">
        <v>0.2</v>
      </c>
    </row>
    <row r="17" spans="3:6" x14ac:dyDescent="0.25">
      <c r="C17" t="str">
        <f t="shared" si="0"/>
        <v>ArrojadoFDFs</v>
      </c>
      <c r="D17" t="s">
        <v>37</v>
      </c>
      <c r="E17" t="s">
        <v>28</v>
      </c>
      <c r="F17" s="19">
        <v>0.1</v>
      </c>
    </row>
    <row r="18" spans="3:6" x14ac:dyDescent="0.25">
      <c r="C18" t="str">
        <f t="shared" si="0"/>
        <v>ArrojadoDESENVOLVIMENTO</v>
      </c>
      <c r="D18" t="s">
        <v>37</v>
      </c>
      <c r="E18" t="s">
        <v>29</v>
      </c>
      <c r="F18" s="19">
        <v>0.1</v>
      </c>
    </row>
    <row r="19" spans="3:6" x14ac:dyDescent="0.25">
      <c r="C19" t="str">
        <f t="shared" si="0"/>
        <v>ArrojadoHOTELARIAS</v>
      </c>
      <c r="D19" t="s">
        <v>37</v>
      </c>
      <c r="E19" t="s">
        <v>30</v>
      </c>
      <c r="F19" s="19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Apoio</vt:lpstr>
      <vt:lpstr>anos</vt:lpstr>
      <vt:lpstr>aporte</vt:lpstr>
      <vt:lpstr>perfil</vt:lpstr>
      <vt:lpstr>salario</vt:lpstr>
      <vt:lpstr>sugestao_aporte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Ailton Silva</cp:lastModifiedBy>
  <dcterms:created xsi:type="dcterms:W3CDTF">2026-10-11T19:08:54Z</dcterms:created>
  <dcterms:modified xsi:type="dcterms:W3CDTF">2026-10-11T19:12:04Z</dcterms:modified>
</cp:coreProperties>
</file>